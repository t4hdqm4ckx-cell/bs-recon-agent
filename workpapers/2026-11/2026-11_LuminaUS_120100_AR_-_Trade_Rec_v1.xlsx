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120100 AR - Trade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48350000</v>
      </c>
    </row>
    <row r="7">
      <c r="A7" s="4" t="inlineStr">
        <is>
          <t>Independent Support</t>
        </is>
      </c>
      <c r="B7" s="5" t="n">
        <v>48350000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2</v>
      </c>
    </row>
    <row r="11">
      <c r="A11" s="4" t="inlineStr">
        <is>
          <t>Proposed JE Count</t>
        </is>
      </c>
      <c r="B11" t="n">
        <v>1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Sub-ledger aging — Current (0-30)</t>
        </is>
      </c>
      <c r="B2" s="5" t="n">
        <v>36795000</v>
      </c>
    </row>
    <row r="3">
      <c r="A3" t="inlineStr">
        <is>
          <t>Sub-ledger aging — 31-60</t>
        </is>
      </c>
      <c r="B3" s="5" t="n">
        <v>6710000</v>
      </c>
    </row>
    <row r="4">
      <c r="A4" t="inlineStr">
        <is>
          <t>Sub-ledger aging — 61-90</t>
        </is>
      </c>
      <c r="B4" s="5" t="n">
        <v>1828000</v>
      </c>
    </row>
    <row r="5">
      <c r="A5" t="inlineStr">
        <is>
          <t>Sub-ledger aging — 91+</t>
        </is>
      </c>
      <c r="B5" s="5" t="n">
        <v>3017000</v>
      </c>
    </row>
    <row r="6">
      <c r="A6">
        <f> Sub-ledger total</f>
        <v/>
      </c>
      <c r="B6" s="5" t="n">
        <v>48350000</v>
      </c>
    </row>
    <row r="7">
      <c r="A7" t="inlineStr">
        <is>
          <t>GL balance</t>
        </is>
      </c>
      <c r="B7" s="5" t="n">
        <v>48350000</v>
      </c>
    </row>
    <row r="8">
      <c r="A8" t="inlineStr">
        <is>
          <t>Difference</t>
        </is>
      </c>
      <c r="B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AR</t>
        </is>
      </c>
      <c r="B2" s="5" t="n">
        <v>48350000</v>
      </c>
    </row>
    <row r="3">
      <c r="A3" t="inlineStr">
        <is>
          <t>90+ AR</t>
        </is>
      </c>
      <c r="B3" s="5" t="n">
        <v>3017000</v>
      </c>
    </row>
    <row r="4">
      <c r="A4" t="inlineStr">
        <is>
          <t>90+ AR as % of total</t>
        </is>
      </c>
      <c r="B4" t="inlineStr">
        <is>
          <t>6.24%</t>
        </is>
      </c>
    </row>
    <row r="5">
      <c r="A5" t="inlineStr">
        <is>
          <t>Threshold</t>
        </is>
      </c>
      <c r="B5" t="inlineStr">
        <is>
          <t>5.0%</t>
        </is>
      </c>
    </row>
    <row r="6">
      <c r="A6" t="inlineStr">
        <is>
          <t>Status</t>
        </is>
      </c>
      <c r="B6" t="inlineStr">
        <is>
          <t>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medium</t>
        </is>
      </c>
      <c r="B2" t="inlineStr">
        <is>
          <t>AR</t>
        </is>
      </c>
      <c r="C2" t="inlineStr">
        <is>
          <t>90+ day AR is 6.24% of total — exceeds 5% threshold</t>
        </is>
      </c>
      <c r="D2" s="5" t="n">
        <v>3017000</v>
      </c>
      <c r="E2" t="n">
        <v>91</v>
      </c>
      <c r="F2" t="inlineStr">
        <is>
          <t>Review collectability with CFO; consider bad-debt reserve top-up</t>
        </is>
      </c>
    </row>
    <row r="3">
      <c r="A3" t="inlineStr">
        <is>
          <t>low</t>
        </is>
      </c>
      <c r="B3" t="inlineStr">
        <is>
          <t>AR</t>
        </is>
      </c>
      <c r="C3" t="inlineStr">
        <is>
          <t>Vortex customer has $45K credit balance — reclassify to deferred revenue</t>
        </is>
      </c>
      <c r="D3" s="5" t="n">
        <v>45000</v>
      </c>
      <c r="E3" t="n">
        <v>15</v>
      </c>
      <c r="F3" t="inlineStr">
        <is>
          <t>Post JE-1 reclass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  <row r="2">
      <c r="A2" t="n">
        <v>1</v>
      </c>
      <c r="B2" t="inlineStr">
        <is>
          <t>Reclassify credit AR balance to deferred revenue</t>
        </is>
      </c>
      <c r="C2" t="inlineStr">
        <is>
          <t>120100 AR - Trade</t>
        </is>
      </c>
      <c r="D2" t="inlineStr">
        <is>
          <t>220100 Deferred Revenue</t>
        </is>
      </c>
      <c r="E2" s="5" t="n">
        <v>45000</v>
      </c>
      <c r="F2" t="inlineStr">
        <is>
          <t>Credit balance in AR should be deferred revenue per GAAP</t>
        </is>
      </c>
      <c r="G2" t="inlineStr">
        <is>
          <t>AR aging — Vortex line</t>
        </is>
      </c>
      <c r="H2" t="inlineStr">
        <is>
          <t>high</t>
        </is>
      </c>
      <c r="I2" t="inlineStr">
        <is>
          <t>Controller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120100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data/synthetic/2026-11_LuminaUS_AR_Aging.xlsx</t>
        </is>
      </c>
      <c r="B15" t="inlineStr">
        <is>
          <t>0bbb67024127d5f5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