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Supporting" sheetId="3" state="visible" r:id="rId3"/>
    <sheet name="Exceptions" sheetId="4" state="visible" r:id="rId4"/>
    <sheet name="Proposed JEs" sheetId="5" state="visible" r:id="rId5"/>
    <sheet name="Audit Tr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7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b val="1"/>
      <color rgb="00028090"/>
      <sz val="12"/>
    </font>
    <font>
      <name val="Calibri"/>
      <i val="1"/>
      <color rgb="0064748B"/>
      <sz val="10"/>
    </font>
    <font>
      <b val="1"/>
      <color rgb="001E2761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1" t="inlineStr">
        <is>
          <t>Balance Sheet Reconciliation</t>
        </is>
      </c>
    </row>
    <row r="2">
      <c r="A2" s="2" t="inlineStr">
        <is>
          <t>LuminaUS — 220100 Deferred Revenue - Subscription</t>
        </is>
      </c>
    </row>
    <row r="3">
      <c r="A3" s="3" t="inlineStr">
        <is>
          <t>Period: 2026-11    Run: 2026-12-01T08:00:00Z</t>
        </is>
      </c>
    </row>
    <row r="5">
      <c r="A5" s="4" t="inlineStr"/>
      <c r="B5" t="inlineStr"/>
    </row>
    <row r="6">
      <c r="A6" s="4" t="inlineStr">
        <is>
          <t>GL Balance (per TB)</t>
        </is>
      </c>
      <c r="B6" s="5" t="n">
        <v>92500000</v>
      </c>
    </row>
    <row r="7">
      <c r="A7" s="4" t="inlineStr">
        <is>
          <t>Independent Support</t>
        </is>
      </c>
      <c r="B7" s="5" t="n">
        <v>92500000</v>
      </c>
    </row>
    <row r="8">
      <c r="A8" s="4" t="inlineStr">
        <is>
          <t>Difference</t>
        </is>
      </c>
      <c r="B8" s="5" t="n">
        <v>0</v>
      </c>
    </row>
    <row r="9">
      <c r="A9" s="4" t="inlineStr">
        <is>
          <t>Status</t>
        </is>
      </c>
      <c r="B9" t="inlineStr">
        <is>
          <t>RECONCILED</t>
        </is>
      </c>
    </row>
    <row r="10">
      <c r="A10" s="4" t="inlineStr">
        <is>
          <t>Exception Count</t>
        </is>
      </c>
      <c r="B10" t="n">
        <v>0</v>
      </c>
    </row>
    <row r="11">
      <c r="A11" s="4" t="inlineStr">
        <is>
          <t>Proposed JE Count</t>
        </is>
      </c>
      <c r="B11" t="n">
        <v>0</v>
      </c>
    </row>
    <row r="12">
      <c r="A12" s="4" t="inlineStr"/>
      <c r="B12" t="inlineStr"/>
    </row>
    <row r="13">
      <c r="A13" s="4" t="inlineStr">
        <is>
          <t>Preparer</t>
        </is>
      </c>
      <c r="B13" t="inlineStr">
        <is>
          <t>agent:account-reconciliation</t>
        </is>
      </c>
    </row>
    <row r="14">
      <c r="A14" s="4" t="inlineStr">
        <is>
          <t>Reviewer</t>
        </is>
      </c>
      <c r="B14" t="inlineStr">
        <is>
          <t>[Pending human sign-off]</t>
        </is>
      </c>
    </row>
    <row r="15">
      <c r="A15" s="4" t="inlineStr">
        <is>
          <t>Sign-off Date</t>
        </is>
      </c>
      <c r="B15" t="inlineStr">
        <is>
          <t>[Pending]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6" t="inlineStr">
        <is>
          <t>Line</t>
        </is>
      </c>
      <c r="B1" s="6" t="inlineStr">
        <is>
          <t>Amount</t>
        </is>
      </c>
    </row>
    <row r="2">
      <c r="A2" t="inlineStr">
        <is>
          <t>Annual Tier 1</t>
        </is>
      </c>
      <c r="B2" s="5" t="n">
        <v>58400000</v>
      </c>
    </row>
    <row r="3">
      <c r="A3" t="inlineStr">
        <is>
          <t>Annual Tier 2</t>
        </is>
      </c>
      <c r="B3" s="5" t="n">
        <v>22300000</v>
      </c>
    </row>
    <row r="4">
      <c r="A4" t="inlineStr">
        <is>
          <t>Monthly cohort (next mo)</t>
        </is>
      </c>
      <c r="B4" s="5" t="n">
        <v>11800000</v>
      </c>
    </row>
    <row r="5">
      <c r="A5">
        <f> Schedule</f>
        <v/>
      </c>
      <c r="B5" s="5" t="n">
        <v>92500000</v>
      </c>
    </row>
    <row r="6">
      <c r="A6" t="inlineStr">
        <is>
          <t>GL</t>
        </is>
      </c>
      <c r="B6" s="5" t="n">
        <v>92500000</v>
      </c>
    </row>
    <row r="7">
      <c r="A7" t="inlineStr">
        <is>
          <t>Difference</t>
        </is>
      </c>
      <c r="B7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6" t="inlineStr">
        <is>
          <t>Cohort</t>
        </is>
      </c>
      <c r="B1" s="6" t="inlineStr">
        <is>
          <t>Balance</t>
        </is>
      </c>
      <c r="C1" s="6" t="inlineStr">
        <is>
          <t>Pattern</t>
        </is>
      </c>
    </row>
    <row r="2">
      <c r="A2" t="inlineStr">
        <is>
          <t>Annual Tier 1</t>
        </is>
      </c>
      <c r="B2" s="5" t="n">
        <v>58400000</v>
      </c>
      <c r="C2" t="inlineStr">
        <is>
          <t>Straight-line 12mo</t>
        </is>
      </c>
    </row>
    <row r="3">
      <c r="A3" t="inlineStr">
        <is>
          <t>Annual Tier 2</t>
        </is>
      </c>
      <c r="B3" s="5" t="n">
        <v>22300000</v>
      </c>
      <c r="C3" t="inlineStr">
        <is>
          <t>Straight-line 12mo</t>
        </is>
      </c>
    </row>
    <row r="4">
      <c r="A4" t="inlineStr">
        <is>
          <t>Monthly</t>
        </is>
      </c>
      <c r="B4" s="5" t="n">
        <v>11800000</v>
      </c>
      <c r="C4" t="inlineStr">
        <is>
          <t>Recognized in Dec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8" customWidth="1" min="4" max="4"/>
    <col width="12" customWidth="1" min="5" max="5"/>
    <col width="50" customWidth="1" min="6" max="6"/>
  </cols>
  <sheetData>
    <row r="1">
      <c r="A1" s="6" t="inlineStr">
        <is>
          <t>Severity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Amount</t>
        </is>
      </c>
      <c r="E1" s="6" t="inlineStr">
        <is>
          <t>Age (days)</t>
        </is>
      </c>
      <c r="F1" s="6" t="inlineStr">
        <is>
          <t>Proposed Action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4" customWidth="1" min="3" max="3"/>
    <col width="24" customWidth="1" min="4" max="4"/>
    <col width="16" customWidth="1" min="5" max="5"/>
    <col width="38" customWidth="1" min="6" max="6"/>
    <col width="24" customWidth="1" min="7" max="7"/>
    <col width="12" customWidth="1" min="8" max="8"/>
    <col width="18" customWidth="1" min="9" max="9"/>
  </cols>
  <sheetData>
    <row r="1">
      <c r="A1" s="6" t="inlineStr">
        <is>
          <t>#</t>
        </is>
      </c>
      <c r="B1" s="6" t="inlineStr">
        <is>
          <t>Description</t>
        </is>
      </c>
      <c r="C1" s="6" t="inlineStr">
        <is>
          <t>Debit Account</t>
        </is>
      </c>
      <c r="D1" s="6" t="inlineStr">
        <is>
          <t>Credit Account</t>
        </is>
      </c>
      <c r="E1" s="6" t="inlineStr">
        <is>
          <t>Amount</t>
        </is>
      </c>
      <c r="F1" s="6" t="inlineStr">
        <is>
          <t>Reason</t>
        </is>
      </c>
      <c r="G1" s="6" t="inlineStr">
        <is>
          <t>Source</t>
        </is>
      </c>
      <c r="H1" s="6" t="inlineStr">
        <is>
          <t>Confidence</t>
        </is>
      </c>
      <c r="I1" s="6" t="inlineStr">
        <is>
          <t>Approval Tier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Audit Trail</t>
        </is>
      </c>
    </row>
    <row r="3">
      <c r="A3" s="7" t="inlineStr">
        <is>
          <t>Agent</t>
        </is>
      </c>
      <c r="B3" t="inlineStr">
        <is>
          <t>account-reconciliation</t>
        </is>
      </c>
    </row>
    <row r="4">
      <c r="A4" s="7" t="inlineStr">
        <is>
          <t>Agent Version</t>
        </is>
      </c>
      <c r="B4" t="inlineStr">
        <is>
          <t>0.1.0</t>
        </is>
      </c>
    </row>
    <row r="5">
      <c r="A5" s="7" t="inlineStr">
        <is>
          <t>Run Timestamp</t>
        </is>
      </c>
      <c r="B5" t="inlineStr">
        <is>
          <t>2026-12-01T08:00:00Z</t>
        </is>
      </c>
    </row>
    <row r="6">
      <c r="A6" s="7" t="inlineStr">
        <is>
          <t>Period</t>
        </is>
      </c>
      <c r="B6" t="inlineStr">
        <is>
          <t>2026-11</t>
        </is>
      </c>
    </row>
    <row r="7">
      <c r="A7" s="7" t="inlineStr">
        <is>
          <t>Entity</t>
        </is>
      </c>
      <c r="B7" t="inlineStr">
        <is>
          <t>LuminaUS</t>
        </is>
      </c>
    </row>
    <row r="8">
      <c r="A8" s="7" t="inlineStr">
        <is>
          <t>Account</t>
        </is>
      </c>
      <c r="B8" t="inlineStr">
        <is>
          <t>220100</t>
        </is>
      </c>
    </row>
    <row r="9">
      <c r="A9" s="7" t="inlineStr">
        <is>
          <t>Preparer</t>
        </is>
      </c>
      <c r="B9" t="inlineStr">
        <is>
          <t>agent:account-reconciliation</t>
        </is>
      </c>
    </row>
    <row r="10">
      <c r="A10" s="7" t="inlineStr">
        <is>
          <t>Reviewer</t>
        </is>
      </c>
      <c r="B10" t="inlineStr">
        <is>
          <t>[Pending human sign-off]</t>
        </is>
      </c>
    </row>
    <row r="11">
      <c r="A11" s="7" t="inlineStr">
        <is>
          <t>Sign-off Date</t>
        </is>
      </c>
      <c r="B11" t="inlineStr">
        <is>
          <t>[Pending]</t>
        </is>
      </c>
    </row>
    <row r="13">
      <c r="A13" s="4" t="inlineStr">
        <is>
          <t>Sources</t>
        </is>
      </c>
    </row>
    <row r="14">
      <c r="A14" s="8" t="inlineStr">
        <is>
          <t>Path</t>
        </is>
      </c>
      <c r="B14" s="8" t="inlineStr">
        <is>
          <t>SHA-256</t>
        </is>
      </c>
    </row>
    <row r="15">
      <c r="A15" t="inlineStr">
        <is>
          <t>data/synthetic/2026-11_DefRev_Schedule.xlsx</t>
        </is>
      </c>
      <c r="B15" t="inlineStr">
        <is>
          <t>20c46e048dd33856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