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200100 AP - Trade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38220000</v>
      </c>
    </row>
    <row r="7">
      <c r="A7" s="4" t="inlineStr">
        <is>
          <t>Independent Support</t>
        </is>
      </c>
      <c r="B7" s="5" t="n">
        <v>38220000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1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AP aging — Current</t>
        </is>
      </c>
      <c r="B2" s="5" t="n">
        <v>33470000</v>
      </c>
    </row>
    <row r="3">
      <c r="A3" t="inlineStr">
        <is>
          <t>AP aging — 31-60</t>
        </is>
      </c>
      <c r="B3" s="5" t="n">
        <v>3530000</v>
      </c>
    </row>
    <row r="4">
      <c r="A4" t="inlineStr">
        <is>
          <t>AP aging — 61-90</t>
        </is>
      </c>
      <c r="B4" s="5" t="n">
        <v>838000</v>
      </c>
    </row>
    <row r="5">
      <c r="A5" t="inlineStr">
        <is>
          <t>AP aging — 91+</t>
        </is>
      </c>
      <c r="B5" s="5" t="n">
        <v>382000</v>
      </c>
    </row>
    <row r="6">
      <c r="A6">
        <f> Sub-ledger total</f>
        <v/>
      </c>
      <c r="B6" s="5" t="n">
        <v>38220000</v>
      </c>
    </row>
    <row r="7">
      <c r="A7" t="inlineStr">
        <is>
          <t>GL balance</t>
        </is>
      </c>
      <c r="B7" s="5" t="n">
        <v>38220000</v>
      </c>
    </row>
    <row r="8">
      <c r="A8" t="inlineStr">
        <is>
          <t>Difference</t>
        </is>
      </c>
      <c r="B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AP</t>
        </is>
      </c>
      <c r="B2" s="5" t="n">
        <v>38220000</v>
      </c>
    </row>
    <row r="3">
      <c r="A3" t="inlineStr">
        <is>
          <t>60+ AP (potential disputes)</t>
        </is>
      </c>
      <c r="B3" s="5" t="n">
        <v>1220000</v>
      </c>
    </row>
    <row r="4">
      <c r="A4" t="inlineStr">
        <is>
          <t>Net 30 expected aging</t>
        </is>
      </c>
      <c r="B4" t="inlineStr">
        <is>
          <t>&lt; 60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low</t>
        </is>
      </c>
      <c r="B2" t="inlineStr">
        <is>
          <t>AP</t>
        </is>
      </c>
      <c r="C2" t="inlineStr">
        <is>
          <t>$1.22M AP &gt; 60 days — possible disputes or process issues</t>
        </is>
      </c>
      <c r="D2" s="5" t="n">
        <v>1220000</v>
      </c>
      <c r="E2" t="n">
        <v>61</v>
      </c>
      <c r="F2" t="inlineStr">
        <is>
          <t>Review aged AP detail with AP manager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200100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data/synthetic/2026-11_LuminaUS_AP_Aging.xlsx</t>
        </is>
      </c>
      <c r="B15" t="inlineStr">
        <is>
          <t>c2ed02d0f67c5529</t>
        </is>
      </c>
    </row>
    <row r="16">
      <c r="A16" t="inlineStr">
        <is>
          <t>data/synthetic/2026-11_GL_TrialBalance.xlsx</t>
        </is>
      </c>
      <c r="B16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