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  <sheet name="Supporting" sheetId="3" state="visible" r:id="rId3"/>
    <sheet name="Exceptions" sheetId="4" state="visible" r:id="rId4"/>
    <sheet name="Proposed JEs" sheetId="5" state="visible" r:id="rId5"/>
    <sheet name="Audit Trai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;[Red](&quot;$&quot;#,##0.00)"/>
  </numFmts>
  <fonts count="7">
    <font>
      <name val="Calibri"/>
      <family val="2"/>
      <color theme="1"/>
      <sz val="11"/>
      <scheme val="minor"/>
    </font>
    <font>
      <name val="Calibri"/>
      <b val="1"/>
      <color rgb="001E2761"/>
      <sz val="14"/>
    </font>
    <font>
      <b val="1"/>
      <color rgb="00028090"/>
      <sz val="12"/>
    </font>
    <font>
      <name val="Calibri"/>
      <i val="1"/>
      <color rgb="0064748B"/>
      <sz val="10"/>
    </font>
    <font>
      <b val="1"/>
      <color rgb="001E2761"/>
    </font>
    <font>
      <name val="Calibri"/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1E2761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0" fillId="0" borderId="0" applyAlignment="1" pivotButton="0" quotePrefix="0" xfId="0">
      <alignment horizontal="right" vertical="center"/>
    </xf>
    <xf numFmtId="0" fontId="5" fillId="2" borderId="1" applyAlignment="1" pivotButton="0" quotePrefix="0" xfId="0">
      <alignment horizontal="center" vertical="center"/>
    </xf>
    <xf numFmtId="0" fontId="6" fillId="0" borderId="0" pivotButton="0" quotePrefix="0" xfId="0"/>
    <xf numFmtId="0" fontId="5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2" customWidth="1" min="1" max="1"/>
    <col width="26" customWidth="1" min="2" max="2"/>
  </cols>
  <sheetData>
    <row r="1">
      <c r="A1" s="1" t="inlineStr">
        <is>
          <t>Balance Sheet Reconciliation</t>
        </is>
      </c>
    </row>
    <row r="2">
      <c r="A2" s="2" t="inlineStr">
        <is>
          <t>LuminaUS — 100100 Cash - Operating</t>
        </is>
      </c>
    </row>
    <row r="3">
      <c r="A3" s="3" t="inlineStr">
        <is>
          <t>Period: 2026-11    Run: 2026-12-01T08:00:00Z</t>
        </is>
      </c>
    </row>
    <row r="5">
      <c r="A5" s="4" t="inlineStr"/>
      <c r="B5" t="inlineStr"/>
    </row>
    <row r="6">
      <c r="A6" s="4" t="inlineStr">
        <is>
          <t>GL Balance (per TB)</t>
        </is>
      </c>
      <c r="B6" s="5" t="n">
        <v>142700000</v>
      </c>
    </row>
    <row r="7">
      <c r="A7" s="4" t="inlineStr">
        <is>
          <t>Independent Support</t>
        </is>
      </c>
      <c r="B7" s="5" t="n">
        <v>141995000</v>
      </c>
    </row>
    <row r="8">
      <c r="A8" s="4" t="inlineStr">
        <is>
          <t>Difference</t>
        </is>
      </c>
      <c r="B8" s="5" t="n">
        <v>705000</v>
      </c>
    </row>
    <row r="9">
      <c r="A9" s="4" t="inlineStr">
        <is>
          <t>Status</t>
        </is>
      </c>
      <c r="B9" t="inlineStr">
        <is>
          <t>VARIANCE — Material</t>
        </is>
      </c>
    </row>
    <row r="10">
      <c r="A10" s="4" t="inlineStr">
        <is>
          <t>Exception Count</t>
        </is>
      </c>
      <c r="B10" t="n">
        <v>4</v>
      </c>
    </row>
    <row r="11">
      <c r="A11" s="4" t="inlineStr">
        <is>
          <t>Proposed JE Count</t>
        </is>
      </c>
      <c r="B11" t="n">
        <v>4</v>
      </c>
    </row>
    <row r="12">
      <c r="A12" s="4" t="inlineStr"/>
      <c r="B12" t="inlineStr"/>
    </row>
    <row r="13">
      <c r="A13" s="4" t="inlineStr">
        <is>
          <t>Preparer</t>
        </is>
      </c>
      <c r="B13" t="inlineStr">
        <is>
          <t>agent:account-reconciliation</t>
        </is>
      </c>
    </row>
    <row r="14">
      <c r="A14" s="4" t="inlineStr">
        <is>
          <t>Reviewer</t>
        </is>
      </c>
      <c r="B14" t="inlineStr">
        <is>
          <t>[Pending human sign-off]</t>
        </is>
      </c>
    </row>
    <row r="15">
      <c r="A15" s="4" t="inlineStr">
        <is>
          <t>Sign-off Date</t>
        </is>
      </c>
      <c r="B15" t="inlineStr">
        <is>
          <t>[Pending]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20" customWidth="1" min="2" max="2"/>
  </cols>
  <sheetData>
    <row r="1">
      <c r="A1" s="6" t="inlineStr">
        <is>
          <t>Line</t>
        </is>
      </c>
      <c r="B1" s="6" t="inlineStr">
        <is>
          <t>Amount</t>
        </is>
      </c>
    </row>
    <row r="2">
      <c r="A2" t="inlineStr">
        <is>
          <t>Bank statement ending balance</t>
        </is>
      </c>
      <c r="B2" s="5" t="n">
        <v>142245000</v>
      </c>
    </row>
    <row r="3">
      <c r="A3" t="inlineStr">
        <is>
          <t>Plus: Deposits in transit</t>
        </is>
      </c>
      <c r="B3" s="5" t="n">
        <v>730000</v>
      </c>
    </row>
    <row r="4">
      <c r="A4" t="inlineStr">
        <is>
          <t>Less: Outstanding checks</t>
        </is>
      </c>
      <c r="B4" s="5" t="n">
        <v>-900000</v>
      </c>
    </row>
    <row r="5">
      <c r="A5">
        <f> Adjusted bank balance</f>
        <v/>
      </c>
      <c r="B5" s="5" t="n">
        <v>142075000</v>
      </c>
    </row>
    <row r="6">
      <c r="A6" t="inlineStr"/>
      <c r="B6" t="inlineStr"/>
    </row>
    <row r="7">
      <c r="A7" t="inlineStr">
        <is>
          <t>GL balance (Cash - Operating)</t>
        </is>
      </c>
      <c r="B7" s="5" t="n">
        <v>142700000</v>
      </c>
    </row>
    <row r="8">
      <c r="A8" t="inlineStr">
        <is>
          <t>Less: Wire fee not yet recorded</t>
        </is>
      </c>
      <c r="B8" s="5" t="n">
        <v>-118000</v>
      </c>
    </row>
    <row r="9">
      <c r="A9" t="inlineStr">
        <is>
          <t>Less: Bank service charge not yet recorded</t>
        </is>
      </c>
      <c r="B9" s="5" t="n">
        <v>-82000</v>
      </c>
    </row>
    <row r="10">
      <c r="A10" t="inlineStr">
        <is>
          <t>Plus: Stale checks to void</t>
        </is>
      </c>
      <c r="B10" s="5" t="n">
        <v>280000</v>
      </c>
    </row>
    <row r="11">
      <c r="A11">
        <f> Adjusted book balance</f>
        <v/>
      </c>
      <c r="B11" s="5" t="n">
        <v>142780000</v>
      </c>
    </row>
    <row r="12">
      <c r="A12" t="inlineStr"/>
      <c r="B12" t="inlineStr"/>
    </row>
    <row r="13">
      <c r="A13" t="inlineStr">
        <is>
          <t>Unreconciled variance</t>
        </is>
      </c>
      <c r="B13" s="5" t="n">
        <v>705000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</cols>
  <sheetData>
    <row r="1">
      <c r="A1" s="6" t="inlineStr">
        <is>
          <t>Source</t>
        </is>
      </c>
      <c r="B1" s="6" t="inlineStr">
        <is>
          <t>Reference</t>
        </is>
      </c>
      <c r="C1" s="6" t="inlineStr">
        <is>
          <t>Amount</t>
        </is>
      </c>
    </row>
    <row r="2">
      <c r="A2" t="inlineStr">
        <is>
          <t>Bank stmt — Operating</t>
        </is>
      </c>
      <c r="B2" t="inlineStr">
        <is>
          <t>2026-11_LuminaUS_BankStatement_Operating.xlsx</t>
        </is>
      </c>
      <c r="C2" s="5" t="n">
        <v>142245000</v>
      </c>
    </row>
    <row r="3">
      <c r="A3" t="inlineStr">
        <is>
          <t>DITs</t>
        </is>
      </c>
      <c r="B3" t="inlineStr">
        <is>
          <t>OutstandingItems.Deposits in Transit</t>
        </is>
      </c>
      <c r="C3" s="5" t="n">
        <v>730000</v>
      </c>
    </row>
    <row r="4">
      <c r="A4" t="inlineStr">
        <is>
          <t>O/Cs</t>
        </is>
      </c>
      <c r="B4" t="inlineStr">
        <is>
          <t>OutstandingItems.Outstanding Checks</t>
        </is>
      </c>
      <c r="C4" s="5" t="n">
        <v>900000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50" customWidth="1" min="3" max="3"/>
    <col width="18" customWidth="1" min="4" max="4"/>
    <col width="12" customWidth="1" min="5" max="5"/>
    <col width="50" customWidth="1" min="6" max="6"/>
  </cols>
  <sheetData>
    <row r="1">
      <c r="A1" s="6" t="inlineStr">
        <is>
          <t>Severity</t>
        </is>
      </c>
      <c r="B1" s="6" t="inlineStr">
        <is>
          <t>Category</t>
        </is>
      </c>
      <c r="C1" s="6" t="inlineStr">
        <is>
          <t>Description</t>
        </is>
      </c>
      <c r="D1" s="6" t="inlineStr">
        <is>
          <t>Amount</t>
        </is>
      </c>
      <c r="E1" s="6" t="inlineStr">
        <is>
          <t>Age (days)</t>
        </is>
      </c>
      <c r="F1" s="6" t="inlineStr">
        <is>
          <t>Proposed Action</t>
        </is>
      </c>
    </row>
    <row r="2">
      <c r="A2" t="inlineStr">
        <is>
          <t>medium</t>
        </is>
      </c>
      <c r="B2" t="inlineStr">
        <is>
          <t>Bank</t>
        </is>
      </c>
      <c r="C2" t="inlineStr">
        <is>
          <t>Check #48201 outstanding 100 days (&gt;60d threshold)</t>
        </is>
      </c>
      <c r="D2" s="5" t="n">
        <v>185000</v>
      </c>
      <c r="E2" t="n">
        <v>100</v>
      </c>
      <c r="F2" t="inlineStr">
        <is>
          <t>Confirm with payee; void via JE if not cashable</t>
        </is>
      </c>
    </row>
    <row r="3">
      <c r="A3" t="inlineStr">
        <is>
          <t>medium</t>
        </is>
      </c>
      <c r="B3" t="inlineStr">
        <is>
          <t>Bank</t>
        </is>
      </c>
      <c r="C3" t="inlineStr">
        <is>
          <t>Check #48205 outstanding 79 days (&gt;60d threshold)</t>
        </is>
      </c>
      <c r="D3" s="5" t="n">
        <v>95000</v>
      </c>
      <c r="E3" t="n">
        <v>79</v>
      </c>
      <c r="F3" t="inlineStr">
        <is>
          <t>Confirm with payee; void if not cashable</t>
        </is>
      </c>
    </row>
    <row r="4">
      <c r="A4" t="inlineStr">
        <is>
          <t>high</t>
        </is>
      </c>
      <c r="B4" t="inlineStr">
        <is>
          <t>Bank</t>
        </is>
      </c>
      <c r="C4" t="inlineStr">
        <is>
          <t>Unrecorded book entries: wire fee + bank service charge</t>
        </is>
      </c>
      <c r="D4" s="5" t="n">
        <v>200000</v>
      </c>
      <c r="E4" t="n">
        <v>1</v>
      </c>
      <c r="F4" t="inlineStr">
        <is>
          <t>Post JE-1 and JE-2</t>
        </is>
      </c>
    </row>
    <row r="5">
      <c r="A5" t="inlineStr">
        <is>
          <t>high</t>
        </is>
      </c>
      <c r="B5" t="inlineStr">
        <is>
          <t>Bank</t>
        </is>
      </c>
      <c r="C5" t="inlineStr">
        <is>
          <t>Residual unreconciled variance — investigation required</t>
        </is>
      </c>
      <c r="D5" s="5" t="n">
        <v>345000</v>
      </c>
      <c r="E5" t="n">
        <v>1</v>
      </c>
      <c r="F5" t="inlineStr">
        <is>
          <t>Pull detailed transaction listing; refer to Treasury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24" customWidth="1" min="3" max="3"/>
    <col width="24" customWidth="1" min="4" max="4"/>
    <col width="16" customWidth="1" min="5" max="5"/>
    <col width="38" customWidth="1" min="6" max="6"/>
    <col width="24" customWidth="1" min="7" max="7"/>
    <col width="12" customWidth="1" min="8" max="8"/>
    <col width="18" customWidth="1" min="9" max="9"/>
  </cols>
  <sheetData>
    <row r="1">
      <c r="A1" s="6" t="inlineStr">
        <is>
          <t>#</t>
        </is>
      </c>
      <c r="B1" s="6" t="inlineStr">
        <is>
          <t>Description</t>
        </is>
      </c>
      <c r="C1" s="6" t="inlineStr">
        <is>
          <t>Debit Account</t>
        </is>
      </c>
      <c r="D1" s="6" t="inlineStr">
        <is>
          <t>Credit Account</t>
        </is>
      </c>
      <c r="E1" s="6" t="inlineStr">
        <is>
          <t>Amount</t>
        </is>
      </c>
      <c r="F1" s="6" t="inlineStr">
        <is>
          <t>Reason</t>
        </is>
      </c>
      <c r="G1" s="6" t="inlineStr">
        <is>
          <t>Source</t>
        </is>
      </c>
      <c r="H1" s="6" t="inlineStr">
        <is>
          <t>Confidence</t>
        </is>
      </c>
      <c r="I1" s="6" t="inlineStr">
        <is>
          <t>Approval Tier</t>
        </is>
      </c>
    </row>
    <row r="2">
      <c r="A2" t="n">
        <v>1</v>
      </c>
      <c r="B2" t="inlineStr">
        <is>
          <t>Record Nov wire transfer fee</t>
        </is>
      </c>
      <c r="C2" t="inlineStr">
        <is>
          <t>720100 Bank Fees</t>
        </is>
      </c>
      <c r="D2" t="inlineStr">
        <is>
          <t>100100 Cash - Operating</t>
        </is>
      </c>
      <c r="E2" s="5" t="n">
        <v>118000</v>
      </c>
      <c r="F2" t="inlineStr">
        <is>
          <t>Fee appears on bank statement but not recorded in GL</t>
        </is>
      </c>
      <c r="G2" t="inlineStr">
        <is>
          <t>Bank statement line 4</t>
        </is>
      </c>
      <c r="H2" t="inlineStr">
        <is>
          <t>high</t>
        </is>
      </c>
      <c r="I2" t="inlineStr">
        <is>
          <t>Controller</t>
        </is>
      </c>
    </row>
    <row r="3">
      <c r="A3" t="n">
        <v>2</v>
      </c>
      <c r="B3" t="inlineStr">
        <is>
          <t>Record Nov bank service charge</t>
        </is>
      </c>
      <c r="C3" t="inlineStr">
        <is>
          <t>720100 Bank Fees</t>
        </is>
      </c>
      <c r="D3" t="inlineStr">
        <is>
          <t>100100 Cash - Operating</t>
        </is>
      </c>
      <c r="E3" s="5" t="n">
        <v>82000</v>
      </c>
      <c r="F3" t="inlineStr">
        <is>
          <t>Charge on bank statement not recorded in GL</t>
        </is>
      </c>
      <c r="G3" t="inlineStr">
        <is>
          <t>Bank statement line 3</t>
        </is>
      </c>
      <c r="H3" t="inlineStr">
        <is>
          <t>high</t>
        </is>
      </c>
      <c r="I3" t="inlineStr">
        <is>
          <t>Controller</t>
        </is>
      </c>
    </row>
    <row r="4">
      <c r="A4" t="n">
        <v>3</v>
      </c>
      <c r="B4" t="inlineStr">
        <is>
          <t>Void stale outstanding check #48201</t>
        </is>
      </c>
      <c r="C4" t="inlineStr">
        <is>
          <t>100100 Cash - Operating</t>
        </is>
      </c>
      <c r="D4" t="inlineStr">
        <is>
          <t>200100 AP - Trade</t>
        </is>
      </c>
      <c r="E4" s="5" t="n">
        <v>185000</v>
      </c>
      <c r="F4" t="inlineStr">
        <is>
          <t>Check outstanding 100 days — likely uncashed</t>
        </is>
      </c>
      <c r="G4" t="inlineStr">
        <is>
          <t>O/C listing</t>
        </is>
      </c>
      <c r="H4" t="inlineStr">
        <is>
          <t>medium</t>
        </is>
      </c>
      <c r="I4" t="inlineStr">
        <is>
          <t>Controller</t>
        </is>
      </c>
    </row>
    <row r="5">
      <c r="A5" t="n">
        <v>4</v>
      </c>
      <c r="B5" t="inlineStr">
        <is>
          <t>Void stale outstanding check #48205</t>
        </is>
      </c>
      <c r="C5" t="inlineStr">
        <is>
          <t>100100 Cash - Operating</t>
        </is>
      </c>
      <c r="D5" t="inlineStr">
        <is>
          <t>200100 AP - Trade</t>
        </is>
      </c>
      <c r="E5" s="5" t="n">
        <v>95000</v>
      </c>
      <c r="F5" t="inlineStr">
        <is>
          <t>Check outstanding 79 days — likely uncashed</t>
        </is>
      </c>
      <c r="G5" t="inlineStr">
        <is>
          <t>O/C listing</t>
        </is>
      </c>
      <c r="H5" t="inlineStr">
        <is>
          <t>medium</t>
        </is>
      </c>
      <c r="I5" t="inlineStr">
        <is>
          <t>Controller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Audit Trail</t>
        </is>
      </c>
    </row>
    <row r="3">
      <c r="A3" s="7" t="inlineStr">
        <is>
          <t>Agent</t>
        </is>
      </c>
      <c r="B3" t="inlineStr">
        <is>
          <t>account-reconciliation</t>
        </is>
      </c>
    </row>
    <row r="4">
      <c r="A4" s="7" t="inlineStr">
        <is>
          <t>Agent Version</t>
        </is>
      </c>
      <c r="B4" t="inlineStr">
        <is>
          <t>0.1.0</t>
        </is>
      </c>
    </row>
    <row r="5">
      <c r="A5" s="7" t="inlineStr">
        <is>
          <t>Run Timestamp</t>
        </is>
      </c>
      <c r="B5" t="inlineStr">
        <is>
          <t>2026-12-01T08:00:00Z</t>
        </is>
      </c>
    </row>
    <row r="6">
      <c r="A6" s="7" t="inlineStr">
        <is>
          <t>Period</t>
        </is>
      </c>
      <c r="B6" t="inlineStr">
        <is>
          <t>2026-11</t>
        </is>
      </c>
    </row>
    <row r="7">
      <c r="A7" s="7" t="inlineStr">
        <is>
          <t>Entity</t>
        </is>
      </c>
      <c r="B7" t="inlineStr">
        <is>
          <t>LuminaUS</t>
        </is>
      </c>
    </row>
    <row r="8">
      <c r="A8" s="7" t="inlineStr">
        <is>
          <t>Account</t>
        </is>
      </c>
      <c r="B8" t="inlineStr">
        <is>
          <t>100100</t>
        </is>
      </c>
    </row>
    <row r="9">
      <c r="A9" s="7" t="inlineStr">
        <is>
          <t>Preparer</t>
        </is>
      </c>
      <c r="B9" t="inlineStr">
        <is>
          <t>agent:account-reconciliation</t>
        </is>
      </c>
    </row>
    <row r="10">
      <c r="A10" s="7" t="inlineStr">
        <is>
          <t>Reviewer</t>
        </is>
      </c>
      <c r="B10" t="inlineStr">
        <is>
          <t>[Pending human sign-off]</t>
        </is>
      </c>
    </row>
    <row r="11">
      <c r="A11" s="7" t="inlineStr">
        <is>
          <t>Sign-off Date</t>
        </is>
      </c>
      <c r="B11" t="inlineStr">
        <is>
          <t>[Pending]</t>
        </is>
      </c>
    </row>
    <row r="13">
      <c r="A13" s="4" t="inlineStr">
        <is>
          <t>Sources</t>
        </is>
      </c>
    </row>
    <row r="14">
      <c r="A14" s="8" t="inlineStr">
        <is>
          <t>Path</t>
        </is>
      </c>
      <c r="B14" s="8" t="inlineStr">
        <is>
          <t>SHA-256</t>
        </is>
      </c>
    </row>
    <row r="15">
      <c r="A15" t="inlineStr">
        <is>
          <t>data/synthetic/2026-11_LuminaUS_BankStatement_Operating.xlsx</t>
        </is>
      </c>
      <c r="B15" t="inlineStr">
        <is>
          <t>fc3c83fa201abf23</t>
        </is>
      </c>
    </row>
    <row r="16">
      <c r="A16" t="inlineStr">
        <is>
          <t>data/synthetic/2026-11_LuminaUS_OutstandingItems.xlsx</t>
        </is>
      </c>
      <c r="B16" t="inlineStr">
        <is>
          <t>19c7abb89308ad41</t>
        </is>
      </c>
    </row>
    <row r="17">
      <c r="A17" t="inlineStr">
        <is>
          <t>data/synthetic/2026-11_GL_TrialBalance.xlsx</t>
        </is>
      </c>
      <c r="B17" t="inlineStr">
        <is>
          <t>0d2649cbffd85bd2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2026-05-30T20:42:51Z</dcterms:created>
  <dcterms:modified xsi:type="dcterms:W3CDTF">2026-05-30T20:42:51Z</dcterms:modified>
</cp:coreProperties>
</file>